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Summary" sheetId="2" state="visible" r:id="rId4"/>
  </sheets>
  <definedNames>
    <definedName function="false" hidden="true" localSheetId="0" name="_xlnm._FilterDatabase" vbProcedure="false">WBS!$A$1:$H$47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<sst xmlns="http://schemas.openxmlformats.org/spreadsheetml/2006/main" count="315" uniqueCount="142">
  <si>
    <t xml:space="preserve">Phase</t>
  </si>
  <si>
    <t xml:space="preserve">ID</t>
  </si>
  <si>
    <t xml:space="preserve">Task</t>
  </si>
  <si>
    <t xml:space="preserve">Priority</t>
  </si>
  <si>
    <t xml:space="preserve">Status</t>
  </si>
  <si>
    <t xml:space="preserve">Est. Hours</t>
  </si>
  <si>
    <t xml:space="preserve">Depends On</t>
  </si>
  <si>
    <t xml:space="preserve">Notes</t>
  </si>
  <si>
    <t xml:space="preserve">Phase 0 - Discovery &amp; Requirements</t>
  </si>
  <si>
    <t xml:space="preserve">P0-1</t>
  </si>
  <si>
    <t xml:space="preserve">Analyse company website &amp; current digital process</t>
  </si>
  <si>
    <t xml:space="preserve">Must</t>
  </si>
  <si>
    <t xml:space="preserve">Done</t>
  </si>
  <si>
    <t xml:space="preserve">Found: manual triage, no case tracking, no document management, no system of record</t>
  </si>
  <si>
    <t xml:space="preserve">P0-2</t>
  </si>
  <si>
    <t xml:space="preserve">Review existing SMSSA-fe CRM repository</t>
  </si>
  <si>
    <t xml:space="preserve">Mapped real pages/components (ClientPortal, CorporateDashboard, DocumentChecklistView, etc.)</t>
  </si>
  <si>
    <t xml:space="preserve">P0-3</t>
  </si>
  <si>
    <t xml:space="preserve">Confirm local dev environment runs</t>
  </si>
  <si>
    <t xml:space="preserve">npm install / npm run dev / npm run build all verified</t>
  </si>
  <si>
    <t xml:space="preserve">P0-4</t>
  </si>
  <si>
    <t xml:space="preserve">Interview IT manager on CRM integration approach</t>
  </si>
  <si>
    <t xml:space="preserve">Confirmed: build AI layer around existing CRM, not a replacement</t>
  </si>
  <si>
    <t xml:space="preserve">P0-5</t>
  </si>
  <si>
    <t xml:space="preserve">Confirm CRM API/webhook availability with IT manager</t>
  </si>
  <si>
    <t xml:space="preserve">To Do</t>
  </si>
  <si>
    <t xml:space="preserve">Determines integration Path A vs Path B</t>
  </si>
  <si>
    <t xml:space="preserve">P0-6</t>
  </si>
  <si>
    <t xml:space="preserve">Draft functional &amp; non-functional requirements document</t>
  </si>
  <si>
    <t xml:space="preserve">P0-1,P0-2</t>
  </si>
  <si>
    <t xml:space="preserve">P0-7</t>
  </si>
  <si>
    <t xml:space="preserve">Get client sign-off on requirements</t>
  </si>
  <si>
    <t xml:space="preserve">Needs a real email/meeting + written confirmation</t>
  </si>
  <si>
    <t xml:space="preserve">Phase 1 - Architecture &amp; Design</t>
  </si>
  <si>
    <t xml:space="preserve">P1-1</t>
  </si>
  <si>
    <t xml:space="preserve">System architecture diagram</t>
  </si>
  <si>
    <t xml:space="preserve">FE, REST API, AI layer, CRM connector, mobile</t>
  </si>
  <si>
    <t xml:space="preserve">P1-2</t>
  </si>
  <si>
    <t xml:space="preserve">Entity-Relationship (ER) diagram</t>
  </si>
  <si>
    <t xml:space="preserve">Full database schema, dbdiagram.io/Lucidchart</t>
  </si>
  <si>
    <t xml:space="preserve">P1-3</t>
  </si>
  <si>
    <t xml:space="preserve">UML Class diagram</t>
  </si>
  <si>
    <t xml:space="preserve">P1-4</t>
  </si>
  <si>
    <t xml:space="preserve">UML Sequence diagram - Login/Registration flow</t>
  </si>
  <si>
    <t xml:space="preserve">P1-5</t>
  </si>
  <si>
    <t xml:space="preserve">UML Sequence diagram - AI Intake Triage flow</t>
  </si>
  <si>
    <t xml:space="preserve">P1-6</t>
  </si>
  <si>
    <t xml:space="preserve">Draft OpenAPI/Swagger contract</t>
  </si>
  <si>
    <t xml:space="preserve">Should</t>
  </si>
  <si>
    <t xml:space="preserve">Spec for new AI-layer endpoints</t>
  </si>
  <si>
    <t xml:space="preserve">Phase 2 - Backend &amp; AI Agent Layer</t>
  </si>
  <si>
    <t xml:space="preserve">P2-1</t>
  </si>
  <si>
    <t xml:space="preserve">Scaffold backend REST API project</t>
  </si>
  <si>
    <t xml:space="preserve">P2-2</t>
  </si>
  <si>
    <t xml:space="preserve">Build CRM Integration Connector</t>
  </si>
  <si>
    <t xml:space="preserve">P0-5,P2-1</t>
  </si>
  <si>
    <t xml:space="preserve">Path A (direct API) or Path B (companion DB)</t>
  </si>
  <si>
    <t xml:space="preserve">P2-3</t>
  </si>
  <si>
    <t xml:space="preserve">Implement Intake Triage Agent</t>
  </si>
  <si>
    <t xml:space="preserve">P2-4</t>
  </si>
  <si>
    <t xml:space="preserve">Implement Document Checklist Agent</t>
  </si>
  <si>
    <t xml:space="preserve">P2-5</t>
  </si>
  <si>
    <t xml:space="preserve">Implement Eligibility Pre-Screening Agent</t>
  </si>
  <si>
    <t xml:space="preserve">Non-binding output only</t>
  </si>
  <si>
    <t xml:space="preserve">P2-6</t>
  </si>
  <si>
    <t xml:space="preserve">Implement Case Status / Client Chatbot Agent</t>
  </si>
  <si>
    <t xml:space="preserve">P2-7</t>
  </si>
  <si>
    <t xml:space="preserve">Implement Consultant Summarisation Agent</t>
  </si>
  <si>
    <t xml:space="preserve">P2-8</t>
  </si>
  <si>
    <t xml:space="preserve">Implement Visa/Permit Expiry &amp; Renewal Agent</t>
  </si>
  <si>
    <t xml:space="preserve">P2-9</t>
  </si>
  <si>
    <t xml:space="preserve">Implement Interview/Consulate Prep Chatbot</t>
  </si>
  <si>
    <t xml:space="preserve">Could</t>
  </si>
  <si>
    <t xml:space="preserve">P2-10</t>
  </si>
  <si>
    <t xml:space="preserve">Implement AI fallback logic</t>
  </si>
  <si>
    <t xml:space="preserve">P2-3,P2-4</t>
  </si>
  <si>
    <t xml:space="preserve">Reverts to structured form fields if AI unavailable</t>
  </si>
  <si>
    <t xml:space="preserve">P2-11</t>
  </si>
  <si>
    <t xml:space="preserve">Publish API documentation</t>
  </si>
  <si>
    <t xml:space="preserve">Swagger UI or Postman collection</t>
  </si>
  <si>
    <t xml:space="preserve">Phase 3 - Frontend Integration</t>
  </si>
  <si>
    <t xml:space="preserve">P3-1</t>
  </si>
  <si>
    <t xml:space="preserve">Add AI chatbot widget to ClientPortalView</t>
  </si>
  <si>
    <t xml:space="preserve">P3-2</t>
  </si>
  <si>
    <t xml:space="preserve">Wire Document Checklist Agent into DocumentChecklistView</t>
  </si>
  <si>
    <t xml:space="preserve">P3-3</t>
  </si>
  <si>
    <t xml:space="preserve">Add expiry/renewal alerts to DashboardView</t>
  </si>
  <si>
    <t xml:space="preserve">P3-4</t>
  </si>
  <si>
    <t xml:space="preserve">Add interview prep chatbot entry point</t>
  </si>
  <si>
    <t xml:space="preserve">P3-5</t>
  </si>
  <si>
    <t xml:space="preserve">Fix mobile responsiveness</t>
  </si>
  <si>
    <t xml:space="preserve">Known existing gap flagged in prior commit history</t>
  </si>
  <si>
    <t xml:space="preserve">Phase 4 - Additional Service Modules</t>
  </si>
  <si>
    <t xml:space="preserve">P4-1</t>
  </si>
  <si>
    <t xml:space="preserve">Tax module - document extraction agent</t>
  </si>
  <si>
    <t xml:space="preserve">P4-2</t>
  </si>
  <si>
    <t xml:space="preserve">Tax module - residency/gap agent</t>
  </si>
  <si>
    <t xml:space="preserve">P4-3</t>
  </si>
  <si>
    <t xml:space="preserve">Tax module - clearance submission agent</t>
  </si>
  <si>
    <t xml:space="preserve">Requires practitioner sign-off before submission</t>
  </si>
  <si>
    <t xml:space="preserve">P4-4</t>
  </si>
  <si>
    <t xml:space="preserve">Wills module - estate intake agent</t>
  </si>
  <si>
    <t xml:space="preserve">P4-5</t>
  </si>
  <si>
    <t xml:space="preserve">Wills module - will drafting agent</t>
  </si>
  <si>
    <t xml:space="preserve">P4-6</t>
  </si>
  <si>
    <t xml:space="preserve">Wills module - execution compliance checklist agent</t>
  </si>
  <si>
    <t xml:space="preserve">Requires attorney sign-off before execution</t>
  </si>
  <si>
    <t xml:space="preserve">Phase 5 - Mobile App</t>
  </si>
  <si>
    <t xml:space="preserve">P5-1</t>
  </si>
  <si>
    <t xml:space="preserve">Scaffold mobile app project</t>
  </si>
  <si>
    <t xml:space="preserve">P5-2</t>
  </si>
  <si>
    <t xml:space="preserve">Implement case status screen</t>
  </si>
  <si>
    <t xml:space="preserve">P5-3</t>
  </si>
  <si>
    <t xml:space="preserve">Implement document upload</t>
  </si>
  <si>
    <t xml:space="preserve">Camera + file upload</t>
  </si>
  <si>
    <t xml:space="preserve">P5-4</t>
  </si>
  <si>
    <t xml:space="preserve">Implement consultant/chatbot messaging</t>
  </si>
  <si>
    <t xml:space="preserve">P5-1,P2-6</t>
  </si>
  <si>
    <t xml:space="preserve">Phase 6 - QA &amp; Compliance</t>
  </si>
  <si>
    <t xml:space="preserve">P6-1</t>
  </si>
  <si>
    <t xml:space="preserve">Write formal test plan</t>
  </si>
  <si>
    <t xml:space="preserve">P6-2</t>
  </si>
  <si>
    <t xml:space="preserve">Execute manual test cases</t>
  </si>
  <si>
    <t xml:space="preserve">Log expected vs actual results</t>
  </si>
  <si>
    <t xml:space="preserve">P6-3</t>
  </si>
  <si>
    <t xml:space="preserve">Draft POPIA-aware Terms of Use / Privacy Note</t>
  </si>
  <si>
    <t xml:space="preserve">P6-4</t>
  </si>
  <si>
    <t xml:space="preserve">Security review</t>
  </si>
  <si>
    <t xml:space="preserve">API key handling, role-based access, audit trail</t>
  </si>
  <si>
    <t xml:space="preserve">Phase 7 - Client Handoff</t>
  </si>
  <si>
    <t xml:space="preserve">P7-1</t>
  </si>
  <si>
    <t xml:space="preserve">Write short user guide</t>
  </si>
  <si>
    <t xml:space="preserve">Admin, Consultant, and Client roles</t>
  </si>
  <si>
    <t xml:space="preserve">P7-2</t>
  </si>
  <si>
    <t xml:space="preserve">Final demo &amp; client sign-off</t>
  </si>
  <si>
    <t xml:space="preserve">P7-1,P6-2</t>
  </si>
  <si>
    <t xml:space="preserve">P7-3</t>
  </si>
  <si>
    <t xml:space="preserve">Deployment &amp; handoff documentation</t>
  </si>
  <si>
    <t xml:space="preserve">Total Tasks</t>
  </si>
  <si>
    <t xml:space="preserve">% Complete</t>
  </si>
  <si>
    <t xml:space="preserve">Total Est. Hours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</si>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</sst>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4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F0"/>
      </left>
      <right style="thin">
        <color rgb="FFDCE3F0"/>
      </right>
      <top style="thin">
        <color rgb="FFDCE3F0"/>
      </top>
      <bottom style="thin">
        <color rgb="FFDCE3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E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E7E6E6"/>
      <rgbColor rgb="FF660066"/>
      <rgbColor rgb="FFFF8080"/>
      <rgbColor rgb="FF0066CC"/>
      <rgbColor rgb="FFDC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5.3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</v>
      </c>
      <c r="G2" s="2"/>
      <c r="H2" s="2" t="s">
        <v>13</v>
      </c>
    </row>
    <row r="3" customFormat="false" ht="37.3" hidden="false" customHeight="false" outlineLevel="0" collapsed="false">
      <c r="A3" s="2" t="s">
        <v>8</v>
      </c>
      <c r="B3" s="2" t="s">
        <v>14</v>
      </c>
      <c r="C3" s="2" t="s">
        <v>15</v>
      </c>
      <c r="D3" s="2" t="s">
        <v>11</v>
      </c>
      <c r="E3" s="2" t="s">
        <v>12</v>
      </c>
      <c r="F3" s="2" t="n">
        <v>4</v>
      </c>
      <c r="G3" s="2"/>
      <c r="H3" s="2" t="s">
        <v>16</v>
      </c>
    </row>
    <row r="4" customFormat="false" ht="25.35" hidden="false" customHeight="false" outlineLevel="0" collapsed="false">
      <c r="A4" s="2" t="s">
        <v>8</v>
      </c>
      <c r="B4" s="2" t="s">
        <v>17</v>
      </c>
      <c r="C4" s="2" t="s">
        <v>18</v>
      </c>
      <c r="D4" s="2" t="s">
        <v>11</v>
      </c>
      <c r="E4" s="2" t="s">
        <v>12</v>
      </c>
      <c r="F4" s="2" t="n">
        <v>1</v>
      </c>
      <c r="G4" s="2" t="s">
        <v>14</v>
      </c>
      <c r="H4" s="2" t="s">
        <v>19</v>
      </c>
    </row>
    <row r="5" customFormat="false" ht="25.35" hidden="false" customHeight="false" outlineLevel="0" collapsed="false">
      <c r="A5" s="2" t="s">
        <v>8</v>
      </c>
      <c r="B5" s="2" t="s">
        <v>20</v>
      </c>
      <c r="C5" s="2" t="s">
        <v>21</v>
      </c>
      <c r="D5" s="2" t="s">
        <v>11</v>
      </c>
      <c r="E5" s="2" t="s">
        <v>12</v>
      </c>
      <c r="F5" s="2" t="n">
        <v>2</v>
      </c>
      <c r="G5" s="2"/>
      <c r="H5" s="2" t="s">
        <v>22</v>
      </c>
    </row>
    <row r="6" customFormat="false" ht="25.35" hidden="false" customHeight="false" outlineLevel="0" collapsed="false">
      <c r="A6" s="2" t="s">
        <v>8</v>
      </c>
      <c r="B6" s="2" t="s">
        <v>23</v>
      </c>
      <c r="C6" s="2" t="s">
        <v>24</v>
      </c>
      <c r="D6" s="2" t="s">
        <v>11</v>
      </c>
      <c r="E6" s="2" t="s">
        <v>25</v>
      </c>
      <c r="F6" s="2" t="n">
        <v>2</v>
      </c>
      <c r="G6" s="2" t="s">
        <v>20</v>
      </c>
      <c r="H6" s="2" t="s">
        <v>26</v>
      </c>
    </row>
    <row r="7" customFormat="false" ht="25.35" hidden="false" customHeight="false" outlineLevel="0" collapsed="false">
      <c r="A7" s="2" t="s">
        <v>8</v>
      </c>
      <c r="B7" s="2" t="s">
        <v>27</v>
      </c>
      <c r="C7" s="2" t="s">
        <v>28</v>
      </c>
      <c r="D7" s="2" t="s">
        <v>11</v>
      </c>
      <c r="E7" s="2" t="s">
        <v>25</v>
      </c>
      <c r="F7" s="2" t="n">
        <v>6</v>
      </c>
      <c r="G7" s="2" t="s">
        <v>29</v>
      </c>
      <c r="H7" s="2"/>
    </row>
    <row r="8" customFormat="false" ht="25.35" hidden="false" customHeight="false" outlineLevel="0" collapsed="false">
      <c r="A8" s="2" t="s">
        <v>8</v>
      </c>
      <c r="B8" s="2" t="s">
        <v>30</v>
      </c>
      <c r="C8" s="2" t="s">
        <v>31</v>
      </c>
      <c r="D8" s="2" t="s">
        <v>11</v>
      </c>
      <c r="E8" s="2" t="s">
        <v>25</v>
      </c>
      <c r="F8" s="2" t="n">
        <v>2</v>
      </c>
      <c r="G8" s="2" t="s">
        <v>27</v>
      </c>
      <c r="H8" s="2" t="s">
        <v>32</v>
      </c>
    </row>
    <row r="9" customFormat="false" ht="25.35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11</v>
      </c>
      <c r="E9" s="2" t="s">
        <v>25</v>
      </c>
      <c r="F9" s="2" t="n">
        <v>4</v>
      </c>
      <c r="G9" s="2" t="s">
        <v>23</v>
      </c>
      <c r="H9" s="2" t="s">
        <v>36</v>
      </c>
    </row>
    <row r="10" customFormat="false" ht="25.35" hidden="false" customHeight="false" outlineLevel="0" collapsed="false">
      <c r="A10" s="2" t="s">
        <v>33</v>
      </c>
      <c r="B10" s="2" t="s">
        <v>37</v>
      </c>
      <c r="C10" s="2" t="s">
        <v>38</v>
      </c>
      <c r="D10" s="2" t="s">
        <v>11</v>
      </c>
      <c r="E10" s="2" t="s">
        <v>25</v>
      </c>
      <c r="F10" s="2" t="n">
        <v>5</v>
      </c>
      <c r="G10" s="2" t="s">
        <v>23</v>
      </c>
      <c r="H10" s="2" t="s">
        <v>39</v>
      </c>
    </row>
    <row r="11" customFormat="false" ht="15" hidden="false" customHeight="false" outlineLevel="0" collapsed="false">
      <c r="A11" s="2" t="s">
        <v>33</v>
      </c>
      <c r="B11" s="2" t="s">
        <v>40</v>
      </c>
      <c r="C11" s="2" t="s">
        <v>41</v>
      </c>
      <c r="D11" s="2" t="s">
        <v>11</v>
      </c>
      <c r="E11" s="2" t="s">
        <v>25</v>
      </c>
      <c r="F11" s="2" t="n">
        <v>4</v>
      </c>
      <c r="G11" s="2" t="s">
        <v>37</v>
      </c>
      <c r="H11" s="2"/>
    </row>
    <row r="12" customFormat="false" ht="25.35" hidden="false" customHeight="false" outlineLevel="0" collapsed="false">
      <c r="A12" s="2" t="s">
        <v>33</v>
      </c>
      <c r="B12" s="2" t="s">
        <v>42</v>
      </c>
      <c r="C12" s="2" t="s">
        <v>43</v>
      </c>
      <c r="D12" s="2" t="s">
        <v>11</v>
      </c>
      <c r="E12" s="2" t="s">
        <v>25</v>
      </c>
      <c r="F12" s="2" t="n">
        <v>3</v>
      </c>
      <c r="G12" s="2" t="s">
        <v>40</v>
      </c>
      <c r="H12" s="2"/>
    </row>
    <row r="13" customFormat="false" ht="15" hidden="false" customHeight="false" outlineLevel="0" collapsed="false">
      <c r="A13" s="2" t="s">
        <v>33</v>
      </c>
      <c r="B13" s="2" t="s">
        <v>44</v>
      </c>
      <c r="C13" s="2" t="s">
        <v>45</v>
      </c>
      <c r="D13" s="2" t="s">
        <v>11</v>
      </c>
      <c r="E13" s="2" t="s">
        <v>25</v>
      </c>
      <c r="F13" s="2" t="n">
        <v>3</v>
      </c>
      <c r="G13" s="2" t="s">
        <v>40</v>
      </c>
      <c r="H13" s="2"/>
    </row>
    <row r="14" customFormat="false" ht="15" hidden="false" customHeight="false" outlineLevel="0" collapsed="false">
      <c r="A14" s="2" t="s">
        <v>33</v>
      </c>
      <c r="B14" s="2" t="s">
        <v>46</v>
      </c>
      <c r="C14" s="2" t="s">
        <v>47</v>
      </c>
      <c r="D14" s="2" t="s">
        <v>48</v>
      </c>
      <c r="E14" s="2" t="s">
        <v>25</v>
      </c>
      <c r="F14" s="2" t="n">
        <v>5</v>
      </c>
      <c r="G14" s="2" t="s">
        <v>34</v>
      </c>
      <c r="H14" s="2" t="s">
        <v>49</v>
      </c>
    </row>
    <row r="15" customFormat="false" ht="25.35" hidden="false" customHeight="false" outlineLevel="0" collapsed="false">
      <c r="A15" s="2" t="s">
        <v>50</v>
      </c>
      <c r="B15" s="2" t="s">
        <v>51</v>
      </c>
      <c r="C15" s="2" t="s">
        <v>52</v>
      </c>
      <c r="D15" s="2" t="s">
        <v>11</v>
      </c>
      <c r="E15" s="2" t="s">
        <v>25</v>
      </c>
      <c r="F15" s="2" t="n">
        <v>4</v>
      </c>
      <c r="G15" s="2" t="s">
        <v>34</v>
      </c>
      <c r="H15" s="2"/>
    </row>
    <row r="16" customFormat="false" ht="25.35" hidden="false" customHeight="false" outlineLevel="0" collapsed="false">
      <c r="A16" s="2" t="s">
        <v>50</v>
      </c>
      <c r="B16" s="2" t="s">
        <v>53</v>
      </c>
      <c r="C16" s="2" t="s">
        <v>54</v>
      </c>
      <c r="D16" s="2" t="s">
        <v>11</v>
      </c>
      <c r="E16" s="2" t="s">
        <v>25</v>
      </c>
      <c r="F16" s="2" t="n">
        <v>10</v>
      </c>
      <c r="G16" s="2" t="s">
        <v>55</v>
      </c>
      <c r="H16" s="2" t="s">
        <v>56</v>
      </c>
    </row>
    <row r="17" customFormat="false" ht="25.35" hidden="false" customHeight="false" outlineLevel="0" collapsed="false">
      <c r="A17" s="2" t="s">
        <v>50</v>
      </c>
      <c r="B17" s="2" t="s">
        <v>57</v>
      </c>
      <c r="C17" s="2" t="s">
        <v>58</v>
      </c>
      <c r="D17" s="2" t="s">
        <v>11</v>
      </c>
      <c r="E17" s="2" t="s">
        <v>25</v>
      </c>
      <c r="F17" s="2" t="n">
        <v>8</v>
      </c>
      <c r="G17" s="2" t="s">
        <v>53</v>
      </c>
      <c r="H17" s="2"/>
    </row>
    <row r="18" customFormat="false" ht="25.35" hidden="false" customHeight="false" outlineLevel="0" collapsed="false">
      <c r="A18" s="2" t="s">
        <v>50</v>
      </c>
      <c r="B18" s="2" t="s">
        <v>59</v>
      </c>
      <c r="C18" s="2" t="s">
        <v>60</v>
      </c>
      <c r="D18" s="2" t="s">
        <v>11</v>
      </c>
      <c r="E18" s="2" t="s">
        <v>25</v>
      </c>
      <c r="F18" s="2" t="n">
        <v>8</v>
      </c>
      <c r="G18" s="2" t="s">
        <v>53</v>
      </c>
      <c r="H18" s="2"/>
    </row>
    <row r="19" customFormat="false" ht="25.35" hidden="false" customHeight="false" outlineLevel="0" collapsed="false">
      <c r="A19" s="2" t="s">
        <v>50</v>
      </c>
      <c r="B19" s="2" t="s">
        <v>61</v>
      </c>
      <c r="C19" s="2" t="s">
        <v>62</v>
      </c>
      <c r="D19" s="2" t="s">
        <v>48</v>
      </c>
      <c r="E19" s="2" t="s">
        <v>25</v>
      </c>
      <c r="F19" s="2" t="n">
        <v>8</v>
      </c>
      <c r="G19" s="2" t="s">
        <v>53</v>
      </c>
      <c r="H19" s="2" t="s">
        <v>63</v>
      </c>
    </row>
    <row r="20" customFormat="false" ht="25.35" hidden="false" customHeight="false" outlineLevel="0" collapsed="false">
      <c r="A20" s="2" t="s">
        <v>50</v>
      </c>
      <c r="B20" s="2" t="s">
        <v>64</v>
      </c>
      <c r="C20" s="2" t="s">
        <v>65</v>
      </c>
      <c r="D20" s="2" t="s">
        <v>11</v>
      </c>
      <c r="E20" s="2" t="s">
        <v>25</v>
      </c>
      <c r="F20" s="2" t="n">
        <v>8</v>
      </c>
      <c r="G20" s="2" t="s">
        <v>53</v>
      </c>
      <c r="H20" s="2"/>
    </row>
    <row r="21" customFormat="false" ht="25.35" hidden="false" customHeight="false" outlineLevel="0" collapsed="false">
      <c r="A21" s="2" t="s">
        <v>50</v>
      </c>
      <c r="B21" s="2" t="s">
        <v>66</v>
      </c>
      <c r="C21" s="2" t="s">
        <v>67</v>
      </c>
      <c r="D21" s="2" t="s">
        <v>48</v>
      </c>
      <c r="E21" s="2" t="s">
        <v>25</v>
      </c>
      <c r="F21" s="2" t="n">
        <v>6</v>
      </c>
      <c r="G21" s="2" t="s">
        <v>53</v>
      </c>
      <c r="H21" s="2"/>
    </row>
    <row r="22" customFormat="false" ht="25.35" hidden="false" customHeight="false" outlineLevel="0" collapsed="false">
      <c r="A22" s="2" t="s">
        <v>50</v>
      </c>
      <c r="B22" s="2" t="s">
        <v>68</v>
      </c>
      <c r="C22" s="2" t="s">
        <v>69</v>
      </c>
      <c r="D22" s="2" t="s">
        <v>48</v>
      </c>
      <c r="E22" s="2" t="s">
        <v>25</v>
      </c>
      <c r="F22" s="2" t="n">
        <v>6</v>
      </c>
      <c r="G22" s="2" t="s">
        <v>53</v>
      </c>
      <c r="H22" s="2"/>
    </row>
    <row r="23" customFormat="false" ht="25.35" hidden="false" customHeight="false" outlineLevel="0" collapsed="false">
      <c r="A23" s="2" t="s">
        <v>50</v>
      </c>
      <c r="B23" s="2" t="s">
        <v>70</v>
      </c>
      <c r="C23" s="2" t="s">
        <v>71</v>
      </c>
      <c r="D23" s="2" t="s">
        <v>72</v>
      </c>
      <c r="E23" s="2" t="s">
        <v>25</v>
      </c>
      <c r="F23" s="2" t="n">
        <v>6</v>
      </c>
      <c r="G23" s="2" t="s">
        <v>53</v>
      </c>
      <c r="H23" s="2"/>
    </row>
    <row r="24" customFormat="false" ht="25.35" hidden="false" customHeight="false" outlineLevel="0" collapsed="false">
      <c r="A24" s="2" t="s">
        <v>50</v>
      </c>
      <c r="B24" s="2" t="s">
        <v>73</v>
      </c>
      <c r="C24" s="2" t="s">
        <v>74</v>
      </c>
      <c r="D24" s="2" t="s">
        <v>11</v>
      </c>
      <c r="E24" s="2" t="s">
        <v>25</v>
      </c>
      <c r="F24" s="2" t="n">
        <v>5</v>
      </c>
      <c r="G24" s="2" t="s">
        <v>75</v>
      </c>
      <c r="H24" s="2" t="s">
        <v>76</v>
      </c>
    </row>
    <row r="25" customFormat="false" ht="25.35" hidden="false" customHeight="false" outlineLevel="0" collapsed="false">
      <c r="A25" s="2" t="s">
        <v>50</v>
      </c>
      <c r="B25" s="2" t="s">
        <v>77</v>
      </c>
      <c r="C25" s="2" t="s">
        <v>78</v>
      </c>
      <c r="D25" s="2" t="s">
        <v>11</v>
      </c>
      <c r="E25" s="2" t="s">
        <v>25</v>
      </c>
      <c r="F25" s="2" t="n">
        <v>4</v>
      </c>
      <c r="G25" s="2" t="s">
        <v>46</v>
      </c>
      <c r="H25" s="2" t="s">
        <v>79</v>
      </c>
    </row>
    <row r="26" customFormat="false" ht="15" hidden="false" customHeight="false" outlineLevel="0" collapsed="false">
      <c r="A26" s="2" t="s">
        <v>80</v>
      </c>
      <c r="B26" s="2" t="s">
        <v>81</v>
      </c>
      <c r="C26" s="2" t="s">
        <v>82</v>
      </c>
      <c r="D26" s="2" t="s">
        <v>11</v>
      </c>
      <c r="E26" s="2" t="s">
        <v>25</v>
      </c>
      <c r="F26" s="2" t="n">
        <v>6</v>
      </c>
      <c r="G26" s="2" t="s">
        <v>64</v>
      </c>
      <c r="H26" s="2"/>
    </row>
    <row r="27" customFormat="false" ht="25.35" hidden="false" customHeight="false" outlineLevel="0" collapsed="false">
      <c r="A27" s="2" t="s">
        <v>80</v>
      </c>
      <c r="B27" s="2" t="s">
        <v>83</v>
      </c>
      <c r="C27" s="2" t="s">
        <v>84</v>
      </c>
      <c r="D27" s="2" t="s">
        <v>11</v>
      </c>
      <c r="E27" s="2" t="s">
        <v>25</v>
      </c>
      <c r="F27" s="2" t="n">
        <v>5</v>
      </c>
      <c r="G27" s="2" t="s">
        <v>59</v>
      </c>
      <c r="H27" s="2"/>
    </row>
    <row r="28" customFormat="false" ht="15" hidden="false" customHeight="false" outlineLevel="0" collapsed="false">
      <c r="A28" s="2" t="s">
        <v>80</v>
      </c>
      <c r="B28" s="2" t="s">
        <v>85</v>
      </c>
      <c r="C28" s="2" t="s">
        <v>86</v>
      </c>
      <c r="D28" s="2" t="s">
        <v>48</v>
      </c>
      <c r="E28" s="2" t="s">
        <v>25</v>
      </c>
      <c r="F28" s="2" t="n">
        <v>4</v>
      </c>
      <c r="G28" s="2" t="s">
        <v>68</v>
      </c>
      <c r="H28" s="2"/>
    </row>
    <row r="29" customFormat="false" ht="15" hidden="false" customHeight="false" outlineLevel="0" collapsed="false">
      <c r="A29" s="2" t="s">
        <v>80</v>
      </c>
      <c r="B29" s="2" t="s">
        <v>87</v>
      </c>
      <c r="C29" s="2" t="s">
        <v>88</v>
      </c>
      <c r="D29" s="2" t="s">
        <v>72</v>
      </c>
      <c r="E29" s="2" t="s">
        <v>25</v>
      </c>
      <c r="F29" s="2" t="n">
        <v>4</v>
      </c>
      <c r="G29" s="2" t="s">
        <v>70</v>
      </c>
      <c r="H29" s="2"/>
    </row>
    <row r="30" customFormat="false" ht="25.35" hidden="false" customHeight="false" outlineLevel="0" collapsed="false">
      <c r="A30" s="2" t="s">
        <v>80</v>
      </c>
      <c r="B30" s="2" t="s">
        <v>89</v>
      </c>
      <c r="C30" s="2" t="s">
        <v>90</v>
      </c>
      <c r="D30" s="2" t="s">
        <v>48</v>
      </c>
      <c r="E30" s="2" t="s">
        <v>25</v>
      </c>
      <c r="F30" s="2" t="n">
        <v>8</v>
      </c>
      <c r="G30" s="2"/>
      <c r="H30" s="2" t="s">
        <v>91</v>
      </c>
    </row>
    <row r="31" customFormat="false" ht="25.35" hidden="false" customHeight="false" outlineLevel="0" collapsed="false">
      <c r="A31" s="2" t="s">
        <v>92</v>
      </c>
      <c r="B31" s="2" t="s">
        <v>93</v>
      </c>
      <c r="C31" s="2" t="s">
        <v>94</v>
      </c>
      <c r="D31" s="2" t="s">
        <v>72</v>
      </c>
      <c r="E31" s="2" t="s">
        <v>25</v>
      </c>
      <c r="F31" s="2" t="n">
        <v>6</v>
      </c>
      <c r="G31" s="2" t="s">
        <v>53</v>
      </c>
      <c r="H31" s="2"/>
    </row>
    <row r="32" customFormat="false" ht="25.35" hidden="false" customHeight="false" outlineLevel="0" collapsed="false">
      <c r="A32" s="2" t="s">
        <v>92</v>
      </c>
      <c r="B32" s="2" t="s">
        <v>95</v>
      </c>
      <c r="C32" s="2" t="s">
        <v>96</v>
      </c>
      <c r="D32" s="2" t="s">
        <v>72</v>
      </c>
      <c r="E32" s="2" t="s">
        <v>25</v>
      </c>
      <c r="F32" s="2" t="n">
        <v>6</v>
      </c>
      <c r="G32" s="2" t="s">
        <v>93</v>
      </c>
      <c r="H32" s="2"/>
    </row>
    <row r="33" customFormat="false" ht="25.35" hidden="false" customHeight="false" outlineLevel="0" collapsed="false">
      <c r="A33" s="2" t="s">
        <v>92</v>
      </c>
      <c r="B33" s="2" t="s">
        <v>97</v>
      </c>
      <c r="C33" s="2" t="s">
        <v>98</v>
      </c>
      <c r="D33" s="2" t="s">
        <v>72</v>
      </c>
      <c r="E33" s="2" t="s">
        <v>25</v>
      </c>
      <c r="F33" s="2" t="n">
        <v>6</v>
      </c>
      <c r="G33" s="2" t="s">
        <v>95</v>
      </c>
      <c r="H33" s="2" t="s">
        <v>99</v>
      </c>
    </row>
    <row r="34" customFormat="false" ht="25.35" hidden="false" customHeight="false" outlineLevel="0" collapsed="false">
      <c r="A34" s="2" t="s">
        <v>92</v>
      </c>
      <c r="B34" s="2" t="s">
        <v>100</v>
      </c>
      <c r="C34" s="2" t="s">
        <v>101</v>
      </c>
      <c r="D34" s="2" t="s">
        <v>72</v>
      </c>
      <c r="E34" s="2" t="s">
        <v>25</v>
      </c>
      <c r="F34" s="2" t="n">
        <v>6</v>
      </c>
      <c r="G34" s="2" t="s">
        <v>53</v>
      </c>
      <c r="H34" s="2"/>
    </row>
    <row r="35" customFormat="false" ht="25.35" hidden="false" customHeight="false" outlineLevel="0" collapsed="false">
      <c r="A35" s="2" t="s">
        <v>92</v>
      </c>
      <c r="B35" s="2" t="s">
        <v>102</v>
      </c>
      <c r="C35" s="2" t="s">
        <v>103</v>
      </c>
      <c r="D35" s="2" t="s">
        <v>72</v>
      </c>
      <c r="E35" s="2" t="s">
        <v>25</v>
      </c>
      <c r="F35" s="2" t="n">
        <v>6</v>
      </c>
      <c r="G35" s="2" t="s">
        <v>100</v>
      </c>
      <c r="H35" s="2"/>
    </row>
    <row r="36" customFormat="false" ht="25.35" hidden="false" customHeight="false" outlineLevel="0" collapsed="false">
      <c r="A36" s="2" t="s">
        <v>92</v>
      </c>
      <c r="B36" s="2" t="s">
        <v>104</v>
      </c>
      <c r="C36" s="2" t="s">
        <v>105</v>
      </c>
      <c r="D36" s="2" t="s">
        <v>72</v>
      </c>
      <c r="E36" s="2" t="s">
        <v>25</v>
      </c>
      <c r="F36" s="2" t="n">
        <v>5</v>
      </c>
      <c r="G36" s="2" t="s">
        <v>102</v>
      </c>
      <c r="H36" s="2" t="s">
        <v>106</v>
      </c>
    </row>
    <row r="37" customFormat="false" ht="15" hidden="false" customHeight="false" outlineLevel="0" collapsed="false">
      <c r="A37" s="2" t="s">
        <v>107</v>
      </c>
      <c r="B37" s="2" t="s">
        <v>108</v>
      </c>
      <c r="C37" s="2" t="s">
        <v>109</v>
      </c>
      <c r="D37" s="2" t="s">
        <v>48</v>
      </c>
      <c r="E37" s="2" t="s">
        <v>25</v>
      </c>
      <c r="F37" s="2" t="n">
        <v>5</v>
      </c>
      <c r="G37" s="2" t="s">
        <v>77</v>
      </c>
      <c r="H37" s="2"/>
    </row>
    <row r="38" customFormat="false" ht="15" hidden="false" customHeight="false" outlineLevel="0" collapsed="false">
      <c r="A38" s="2" t="s">
        <v>107</v>
      </c>
      <c r="B38" s="2" t="s">
        <v>110</v>
      </c>
      <c r="C38" s="2" t="s">
        <v>111</v>
      </c>
      <c r="D38" s="2" t="s">
        <v>48</v>
      </c>
      <c r="E38" s="2" t="s">
        <v>25</v>
      </c>
      <c r="F38" s="2" t="n">
        <v>6</v>
      </c>
      <c r="G38" s="2" t="s">
        <v>108</v>
      </c>
      <c r="H38" s="2"/>
    </row>
    <row r="39" customFormat="false" ht="15" hidden="false" customHeight="false" outlineLevel="0" collapsed="false">
      <c r="A39" s="2" t="s">
        <v>107</v>
      </c>
      <c r="B39" s="2" t="s">
        <v>112</v>
      </c>
      <c r="C39" s="2" t="s">
        <v>113</v>
      </c>
      <c r="D39" s="2" t="s">
        <v>48</v>
      </c>
      <c r="E39" s="2" t="s">
        <v>25</v>
      </c>
      <c r="F39" s="2" t="n">
        <v>6</v>
      </c>
      <c r="G39" s="2" t="s">
        <v>108</v>
      </c>
      <c r="H39" s="2" t="s">
        <v>114</v>
      </c>
    </row>
    <row r="40" customFormat="false" ht="15" hidden="false" customHeight="false" outlineLevel="0" collapsed="false">
      <c r="A40" s="2" t="s">
        <v>107</v>
      </c>
      <c r="B40" s="2" t="s">
        <v>115</v>
      </c>
      <c r="C40" s="2" t="s">
        <v>116</v>
      </c>
      <c r="D40" s="2" t="s">
        <v>48</v>
      </c>
      <c r="E40" s="2" t="s">
        <v>25</v>
      </c>
      <c r="F40" s="2" t="n">
        <v>6</v>
      </c>
      <c r="G40" s="2" t="s">
        <v>117</v>
      </c>
      <c r="H40" s="2"/>
    </row>
    <row r="41" customFormat="false" ht="15" hidden="false" customHeight="false" outlineLevel="0" collapsed="false">
      <c r="A41" s="2" t="s">
        <v>118</v>
      </c>
      <c r="B41" s="2" t="s">
        <v>119</v>
      </c>
      <c r="C41" s="2" t="s">
        <v>120</v>
      </c>
      <c r="D41" s="2" t="s">
        <v>11</v>
      </c>
      <c r="E41" s="2" t="s">
        <v>25</v>
      </c>
      <c r="F41" s="2" t="n">
        <v>5</v>
      </c>
      <c r="G41" s="2" t="s">
        <v>27</v>
      </c>
      <c r="H41" s="2"/>
    </row>
    <row r="42" customFormat="false" ht="15" hidden="false" customHeight="false" outlineLevel="0" collapsed="false">
      <c r="A42" s="2" t="s">
        <v>118</v>
      </c>
      <c r="B42" s="2" t="s">
        <v>121</v>
      </c>
      <c r="C42" s="2" t="s">
        <v>122</v>
      </c>
      <c r="D42" s="2" t="s">
        <v>11</v>
      </c>
      <c r="E42" s="2" t="s">
        <v>25</v>
      </c>
      <c r="F42" s="2" t="n">
        <v>8</v>
      </c>
      <c r="G42" s="2" t="s">
        <v>119</v>
      </c>
      <c r="H42" s="2" t="s">
        <v>123</v>
      </c>
    </row>
    <row r="43" customFormat="false" ht="25.35" hidden="false" customHeight="false" outlineLevel="0" collapsed="false">
      <c r="A43" s="2" t="s">
        <v>118</v>
      </c>
      <c r="B43" s="2" t="s">
        <v>124</v>
      </c>
      <c r="C43" s="2" t="s">
        <v>125</v>
      </c>
      <c r="D43" s="2" t="s">
        <v>11</v>
      </c>
      <c r="E43" s="2" t="s">
        <v>25</v>
      </c>
      <c r="F43" s="2" t="n">
        <v>4</v>
      </c>
      <c r="G43" s="2" t="s">
        <v>27</v>
      </c>
      <c r="H43" s="2"/>
    </row>
    <row r="44" customFormat="false" ht="25.35" hidden="false" customHeight="false" outlineLevel="0" collapsed="false">
      <c r="A44" s="2" t="s">
        <v>118</v>
      </c>
      <c r="B44" s="2" t="s">
        <v>126</v>
      </c>
      <c r="C44" s="2" t="s">
        <v>127</v>
      </c>
      <c r="D44" s="2" t="s">
        <v>11</v>
      </c>
      <c r="E44" s="2" t="s">
        <v>25</v>
      </c>
      <c r="F44" s="2" t="n">
        <v>4</v>
      </c>
      <c r="G44" s="2" t="s">
        <v>53</v>
      </c>
      <c r="H44" s="2" t="s">
        <v>128</v>
      </c>
    </row>
    <row r="45" customFormat="false" ht="15" hidden="false" customHeight="false" outlineLevel="0" collapsed="false">
      <c r="A45" s="2" t="s">
        <v>129</v>
      </c>
      <c r="B45" s="2" t="s">
        <v>130</v>
      </c>
      <c r="C45" s="2" t="s">
        <v>131</v>
      </c>
      <c r="D45" s="2" t="s">
        <v>11</v>
      </c>
      <c r="E45" s="2" t="s">
        <v>25</v>
      </c>
      <c r="F45" s="2" t="n">
        <v>4</v>
      </c>
      <c r="G45" s="2" t="s">
        <v>121</v>
      </c>
      <c r="H45" s="2" t="s">
        <v>132</v>
      </c>
    </row>
    <row r="46" customFormat="false" ht="15" hidden="false" customHeight="false" outlineLevel="0" collapsed="false">
      <c r="A46" s="2" t="s">
        <v>129</v>
      </c>
      <c r="B46" s="2" t="s">
        <v>133</v>
      </c>
      <c r="C46" s="2" t="s">
        <v>134</v>
      </c>
      <c r="D46" s="2" t="s">
        <v>11</v>
      </c>
      <c r="E46" s="2" t="s">
        <v>25</v>
      </c>
      <c r="F46" s="2" t="n">
        <v>3</v>
      </c>
      <c r="G46" s="2" t="s">
        <v>135</v>
      </c>
      <c r="H46" s="2"/>
    </row>
    <row r="47" customFormat="false" ht="15" hidden="false" customHeight="false" outlineLevel="0" collapsed="false">
      <c r="A47" s="2" t="s">
        <v>129</v>
      </c>
      <c r="B47" s="2" t="s">
        <v>136</v>
      </c>
      <c r="C47" s="2" t="s">
        <v>137</v>
      </c>
      <c r="D47" s="2" t="s">
        <v>11</v>
      </c>
      <c r="E47" s="2" t="s">
        <v>25</v>
      </c>
      <c r="F47" s="2" t="n">
        <v>4</v>
      </c>
      <c r="G47" s="2" t="s">
        <v>133</v>
      </c>
      <c r="H47" s="2"/>
    </row>
  </sheetData>
  <autoFilter ref="A1:H47"/>
  <conditionalFormatting sqref="E2:E47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"To Do"</formula>
    </cfRule>
  </conditionalFormatting>
  <conditionalFormatting sqref="D2:D47">
    <cfRule type="cellIs" priority="4" operator="equal" aboveAverage="0" equalAverage="0" bottom="0" percent="0" rank="0" text="" dxfId="10">
      <formula>"Must"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26.85" hidden="false" customHeight="false" outlineLevel="0" collapsed="false">
      <c r="A1" s="1" t="s">
        <v>0</v>
      </c>
      <c r="B1" s="1" t="s">
        <v>138</v>
      </c>
      <c r="C1" s="1" t="s">
        <v>12</v>
      </c>
      <c r="D1" s="1" t="s">
        <v>25</v>
      </c>
      <c r="E1" s="1" t="s">
        <v>139</v>
      </c>
      <c r="F1" s="1" t="s">
        <v>140</v>
      </c>
    </row>
    <row r="2" customFormat="false" ht="15" hidden="false" customHeight="false" outlineLevel="0" collapsed="false">
      <c r="A2" s="3" t="s">
        <v>8</v>
      </c>
      <c r="B2" s="4" t="n">
        <f aca="false">COUNTIF(WBS!$A$2:$A$47,A2)</f>
        <v>7</v>
      </c>
      <c r="C2" s="4" t="n">
        <f aca="false">COUNTIFS(WBS!$A$2:$A$47,A2,WBS!$E$2:$E$47,"Done")</f>
        <v>4</v>
      </c>
      <c r="D2" s="4" t="n">
        <f aca="false">COUNTIFS(WBS!$A$2:$A$47,A2,WBS!$E$2:$E$47,"To Do")</f>
        <v>3</v>
      </c>
      <c r="E2" s="5" t="n">
        <f aca="false">IFERROR(C2/B2,0)</f>
        <v>0.571428571428571</v>
      </c>
      <c r="F2" s="4" t="n">
        <f aca="false">SUMIF(WBS!$A$2:$A$47,A2,WBS!$F$2:$F$47)</f>
        <v>20</v>
      </c>
    </row>
    <row r="3" customFormat="false" ht="15" hidden="false" customHeight="false" outlineLevel="0" collapsed="false">
      <c r="A3" s="3" t="s">
        <v>33</v>
      </c>
      <c r="B3" s="4" t="n">
        <f aca="false">COUNTIF(WBS!$A$2:$A$47,A3)</f>
        <v>6</v>
      </c>
      <c r="C3" s="4" t="n">
        <f aca="false">COUNTIFS(WBS!$A$2:$A$47,A3,WBS!$E$2:$E$47,"Done")</f>
        <v>0</v>
      </c>
      <c r="D3" s="4" t="n">
        <f aca="false">COUNTIFS(WBS!$A$2:$A$47,A3,WBS!$E$2:$E$47,"To Do")</f>
        <v>6</v>
      </c>
      <c r="E3" s="5" t="n">
        <f aca="false">IFERROR(C3/B3,0)</f>
        <v>0</v>
      </c>
      <c r="F3" s="4" t="n">
        <f aca="false">SUMIF(WBS!$A$2:$A$47,A3,WBS!$F$2:$F$47)</f>
        <v>24</v>
      </c>
    </row>
    <row r="4" customFormat="false" ht="15" hidden="false" customHeight="false" outlineLevel="0" collapsed="false">
      <c r="A4" s="3" t="s">
        <v>50</v>
      </c>
      <c r="B4" s="4" t="n">
        <f aca="false">COUNTIF(WBS!$A$2:$A$47,A4)</f>
        <v>11</v>
      </c>
      <c r="C4" s="4" t="n">
        <f aca="false">COUNTIFS(WBS!$A$2:$A$47,A4,WBS!$E$2:$E$47,"Done")</f>
        <v>0</v>
      </c>
      <c r="D4" s="4" t="n">
        <f aca="false">COUNTIFS(WBS!$A$2:$A$47,A4,WBS!$E$2:$E$47,"To Do")</f>
        <v>11</v>
      </c>
      <c r="E4" s="5" t="n">
        <f aca="false">IFERROR(C4/B4,0)</f>
        <v>0</v>
      </c>
      <c r="F4" s="4" t="n">
        <f aca="false">SUMIF(WBS!$A$2:$A$47,A4,WBS!$F$2:$F$47)</f>
        <v>73</v>
      </c>
    </row>
    <row r="5" customFormat="false" ht="15" hidden="false" customHeight="false" outlineLevel="0" collapsed="false">
      <c r="A5" s="3" t="s">
        <v>80</v>
      </c>
      <c r="B5" s="4" t="n">
        <f aca="false">COUNTIF(WBS!$A$2:$A$47,A5)</f>
        <v>5</v>
      </c>
      <c r="C5" s="4" t="n">
        <f aca="false">COUNTIFS(WBS!$A$2:$A$47,A5,WBS!$E$2:$E$47,"Done")</f>
        <v>0</v>
      </c>
      <c r="D5" s="4" t="n">
        <f aca="false">COUNTIFS(WBS!$A$2:$A$47,A5,WBS!$E$2:$E$47,"To Do")</f>
        <v>5</v>
      </c>
      <c r="E5" s="5" t="n">
        <f aca="false">IFERROR(C5/B5,0)</f>
        <v>0</v>
      </c>
      <c r="F5" s="4" t="n">
        <f aca="false">SUMIF(WBS!$A$2:$A$47,A5,WBS!$F$2:$F$47)</f>
        <v>27</v>
      </c>
    </row>
    <row r="6" customFormat="false" ht="15" hidden="false" customHeight="false" outlineLevel="0" collapsed="false">
      <c r="A6" s="3" t="s">
        <v>92</v>
      </c>
      <c r="B6" s="4" t="n">
        <f aca="false">COUNTIF(WBS!$A$2:$A$47,A6)</f>
        <v>6</v>
      </c>
      <c r="C6" s="4" t="n">
        <f aca="false">COUNTIFS(WBS!$A$2:$A$47,A6,WBS!$E$2:$E$47,"Done")</f>
        <v>0</v>
      </c>
      <c r="D6" s="4" t="n">
        <f aca="false">COUNTIFS(WBS!$A$2:$A$47,A6,WBS!$E$2:$E$47,"To Do")</f>
        <v>6</v>
      </c>
      <c r="E6" s="5" t="n">
        <f aca="false">IFERROR(C6/B6,0)</f>
        <v>0</v>
      </c>
      <c r="F6" s="4" t="n">
        <f aca="false">SUMIF(WBS!$A$2:$A$47,A6,WBS!$F$2:$F$47)</f>
        <v>35</v>
      </c>
    </row>
    <row r="7" customFormat="false" ht="15" hidden="false" customHeight="false" outlineLevel="0" collapsed="false">
      <c r="A7" s="3" t="s">
        <v>107</v>
      </c>
      <c r="B7" s="4" t="n">
        <f aca="false">COUNTIF(WBS!$A$2:$A$47,A7)</f>
        <v>4</v>
      </c>
      <c r="C7" s="4" t="n">
        <f aca="false">COUNTIFS(WBS!$A$2:$A$47,A7,WBS!$E$2:$E$47,"Done")</f>
        <v>0</v>
      </c>
      <c r="D7" s="4" t="n">
        <f aca="false">COUNTIFS(WBS!$A$2:$A$47,A7,WBS!$E$2:$E$47,"To Do")</f>
        <v>4</v>
      </c>
      <c r="E7" s="5" t="n">
        <f aca="false">IFERROR(C7/B7,0)</f>
        <v>0</v>
      </c>
      <c r="F7" s="4" t="n">
        <f aca="false">SUMIF(WBS!$A$2:$A$47,A7,WBS!$F$2:$F$47)</f>
        <v>23</v>
      </c>
    </row>
    <row r="8" customFormat="false" ht="15" hidden="false" customHeight="false" outlineLevel="0" collapsed="false">
      <c r="A8" s="3" t="s">
        <v>118</v>
      </c>
      <c r="B8" s="4" t="n">
        <f aca="false">COUNTIF(WBS!$A$2:$A$47,A8)</f>
        <v>4</v>
      </c>
      <c r="C8" s="4" t="n">
        <f aca="false">COUNTIFS(WBS!$A$2:$A$47,A8,WBS!$E$2:$E$47,"Done")</f>
        <v>0</v>
      </c>
      <c r="D8" s="4" t="n">
        <f aca="false">COUNTIFS(WBS!$A$2:$A$47,A8,WBS!$E$2:$E$47,"To Do")</f>
        <v>4</v>
      </c>
      <c r="E8" s="5" t="n">
        <f aca="false">IFERROR(C8/B8,0)</f>
        <v>0</v>
      </c>
      <c r="F8" s="4" t="n">
        <f aca="false">SUMIF(WBS!$A$2:$A$47,A8,WBS!$F$2:$F$47)</f>
        <v>21</v>
      </c>
    </row>
    <row r="9" customFormat="false" ht="15" hidden="false" customHeight="false" outlineLevel="0" collapsed="false">
      <c r="A9" s="3" t="s">
        <v>129</v>
      </c>
      <c r="B9" s="4" t="n">
        <f aca="false">COUNTIF(WBS!$A$2:$A$47,A9)</f>
        <v>3</v>
      </c>
      <c r="C9" s="4" t="n">
        <f aca="false">COUNTIFS(WBS!$A$2:$A$47,A9,WBS!$E$2:$E$47,"Done")</f>
        <v>0</v>
      </c>
      <c r="D9" s="4" t="n">
        <f aca="false">COUNTIFS(WBS!$A$2:$A$47,A9,WBS!$E$2:$E$47,"To Do")</f>
        <v>3</v>
      </c>
      <c r="E9" s="5" t="n">
        <f aca="false">IFERROR(C9/B9,0)</f>
        <v>0</v>
      </c>
      <c r="F9" s="4" t="n">
        <f aca="false">SUMIF(WBS!$A$2:$A$47,A9,WBS!$F$2:$F$47)</f>
        <v>11</v>
      </c>
    </row>
    <row r="10" customFormat="false" ht="15" hidden="false" customHeight="false" outlineLevel="0" collapsed="false">
      <c r="A10" s="6" t="s">
        <v>141</v>
      </c>
      <c r="B10" s="7" t="n">
        <f aca="false">SUM(B2:B9)</f>
        <v>46</v>
      </c>
      <c r="C10" s="7" t="n">
        <f aca="false">SUM(C2:C9)</f>
        <v>4</v>
      </c>
      <c r="D10" s="7" t="n">
        <f aca="false">SUM(D2:D9)</f>
        <v>42</v>
      </c>
      <c r="E10" s="8" t="n">
        <f aca="false">IFERROR(C10/B10,0)</f>
        <v>0.0869565217391304</v>
      </c>
      <c r="F10" s="7" t="n">
        <f aca="false">SUM(F2:F9)</f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2026-08-14T10:03:56Z</dcterms:created>
  <dc:creator>openpyxl</dc:creator>
  <dc:description/>
  <dc:language>en-US</dc:language>
  <cp:lastModifiedBy/>
  <dcterms:modified xsi:type="dcterms:W3CDTF">2026-08-14T10:03:56Z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